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af and stem " sheetId="2" r:id="rId1"/>
    <sheet name="frui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<sst xmlns="http://schemas.openxmlformats.org/spreadsheetml/2006/main" count="120" uniqueCount="71">
  <si>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code</t>
  </si>
  <si>
    <t>Leaf(g)</t>
  </si>
  <si>
    <t>Nitrogen proportion(%)</t>
  </si>
  <si>
    <t>Nitrogen content(g)</t>
  </si>
  <si>
    <t>Phosphorus proportion(%)</t>
  </si>
  <si>
    <t>Phosphorus content(g)</t>
  </si>
  <si>
    <t>Potassium proportion(%)</t>
  </si>
  <si>
    <t>Potassium content(g)</t>
  </si>
  <si>
    <t>Stem(g)</t>
  </si>
  <si>
    <t xml:space="preserve"> </t>
  </si>
  <si>
    <t>T1-1-1</t>
  </si>
  <si>
    <t>T1-1-2</t>
  </si>
  <si>
    <t>T1-1-3</t>
  </si>
  <si>
    <t>T1-2-1</t>
  </si>
  <si>
    <t>T1-2-2</t>
  </si>
  <si>
    <t>T1-2-3</t>
  </si>
  <si>
    <t>T1-3-1</t>
  </si>
  <si>
    <t>T1-3-2</t>
  </si>
  <si>
    <t>T1-3-3</t>
  </si>
  <si>
    <t>T2-1-1</t>
  </si>
  <si>
    <t>T2-1-2</t>
  </si>
  <si>
    <t>T2-1-3</t>
  </si>
  <si>
    <t>T2-2-1</t>
  </si>
  <si>
    <t>T2-2-2</t>
  </si>
  <si>
    <t>T2-2-3</t>
  </si>
  <si>
    <t>T2-3-1</t>
  </si>
  <si>
    <t>T2-3-2</t>
  </si>
  <si>
    <t>T2-3-3</t>
  </si>
  <si>
    <t>T3-1-1</t>
  </si>
  <si>
    <t>T3-1-2</t>
  </si>
  <si>
    <t>T3-1-3</t>
  </si>
  <si>
    <t>T3-2-1</t>
  </si>
  <si>
    <t>T3-2-2</t>
  </si>
  <si>
    <t>T3-2-3</t>
  </si>
  <si>
    <t>T3-3-1</t>
  </si>
  <si>
    <t>T3-3-2</t>
  </si>
  <si>
    <t>T3-3-3</t>
  </si>
  <si>
    <t>T4-1-1</t>
  </si>
  <si>
    <t>T4-1-2</t>
  </si>
  <si>
    <t>T4-1-3</t>
  </si>
  <si>
    <t>T4-2-1</t>
  </si>
  <si>
    <t>T4-2-2</t>
  </si>
  <si>
    <t>T4-2-3</t>
  </si>
  <si>
    <t>T4-3-1</t>
  </si>
  <si>
    <t>T4-3-2</t>
  </si>
  <si>
    <t>T4-3-3</t>
  </si>
  <si>
    <t>Fresh fruit weight(g)</t>
  </si>
  <si>
    <t>T1-1-4</t>
  </si>
  <si>
    <t>T1-1-5</t>
  </si>
  <si>
    <t>T1-2-4</t>
  </si>
  <si>
    <t>T1-2-5</t>
  </si>
  <si>
    <t>T1-3-4</t>
  </si>
  <si>
    <t>T1-3-5</t>
  </si>
  <si>
    <t>T2-1-4</t>
  </si>
  <si>
    <t>T2-1-5</t>
  </si>
  <si>
    <t>T2-2-4</t>
  </si>
  <si>
    <t>T2-2-5</t>
  </si>
  <si>
    <t>T2-3-4</t>
  </si>
  <si>
    <t>T2-3-5</t>
  </si>
  <si>
    <t>T3-1-4</t>
  </si>
  <si>
    <t>T3-1-5</t>
  </si>
  <si>
    <t>T3-2-4</t>
  </si>
  <si>
    <t>T3-2-5</t>
  </si>
  <si>
    <t>T3-3-4</t>
  </si>
  <si>
    <t>T3-3-5</t>
  </si>
  <si>
    <t>T4-1-4</t>
  </si>
  <si>
    <t>T4-1-5</t>
  </si>
  <si>
    <t>T4-2-4</t>
  </si>
  <si>
    <t>T4-2-5</t>
  </si>
  <si>
    <t>T4-3-4</t>
  </si>
  <si>
    <t>T4-3-5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</si>
</sst>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zoomScale="145" zoomScaleNormal="145" workbookViewId="0">
      <selection activeCell="B3" sqref="B3"/>
    </sheetView>
  </sheetViews>
  <sheetFormatPr defaultColWidth="9" defaultRowHeight="15"/>
  <cols>
    <col min="1" max="1" width="9" style="3"/>
    <col min="2" max="2" width="13.625" style="3" customWidth="1"/>
    <col min="3" max="3" width="15" style="4" customWidth="1"/>
    <col min="4" max="4" width="12.125" style="4" customWidth="1"/>
    <col min="5" max="5" width="14.625" style="4" customWidth="1"/>
    <col min="6" max="6" width="12.75" style="4" customWidth="1"/>
    <col min="7" max="7" width="14.875" style="4" customWidth="1"/>
    <col min="8" max="8" width="12.875" style="4" customWidth="1"/>
    <col min="9" max="9" width="18.5" style="5" customWidth="1"/>
    <col min="10" max="10" width="11.5" style="6" customWidth="1"/>
    <col min="11" max="11" width="16.75" style="7" customWidth="1"/>
    <col min="12" max="13" width="16.875" style="7" customWidth="1"/>
    <col min="14" max="15" width="16.625" style="7" customWidth="1"/>
    <col min="16" max="16" width="17.375" style="7" customWidth="1"/>
  </cols>
  <sheetData>
    <row r="1" ht="52" customHeight="1" spans="1:19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/>
      <c r="J1" s="11" t="s">
        <v>8</v>
      </c>
      <c r="K1" s="12" t="s">
        <v>2</v>
      </c>
      <c r="L1" s="12" t="s">
        <v>3</v>
      </c>
      <c r="M1" s="12" t="s">
        <v>4</v>
      </c>
      <c r="N1" s="12" t="s">
        <v>5</v>
      </c>
      <c r="O1" s="12" t="s">
        <v>6</v>
      </c>
      <c r="P1" s="12" t="s">
        <v>7</v>
      </c>
      <c r="S1" t="s">
        <v>9</v>
      </c>
    </row>
    <row r="2" spans="1:19">
      <c r="A2" s="3" t="s">
        <v>10</v>
      </c>
      <c r="B2" s="13">
        <v>725.11</v>
      </c>
      <c r="C2" s="14">
        <v>0.0211350940807527</v>
      </c>
      <c r="D2" s="14">
        <v>15.3252680688946</v>
      </c>
      <c r="E2" s="14">
        <v>0.00276200362602901</v>
      </c>
      <c r="F2" s="14">
        <v>2.00275644926989</v>
      </c>
      <c r="G2" s="14">
        <v>0.0117600940807526</v>
      </c>
      <c r="H2" s="14">
        <v>8.52736181889455</v>
      </c>
      <c r="I2" s="15"/>
      <c r="J2" s="16">
        <v>302.3</v>
      </c>
      <c r="K2" s="14">
        <v>0.0116054951905949</v>
      </c>
      <c r="L2" s="14">
        <v>3.50834119611685</v>
      </c>
      <c r="M2" s="14">
        <v>0.00198258505521909</v>
      </c>
      <c r="N2" s="14">
        <v>0.599335462192732</v>
      </c>
      <c r="O2" s="14">
        <v>0.0269861061631635</v>
      </c>
      <c r="P2" s="14">
        <v>8.15789989312433</v>
      </c>
    </row>
    <row r="3" spans="1:19">
      <c r="A3" s="3" t="s">
        <v>11</v>
      </c>
      <c r="B3" s="13">
        <v>537.92</v>
      </c>
      <c r="C3" s="14">
        <v>0.0211350940807527</v>
      </c>
      <c r="D3" s="14">
        <v>11.3689898079185</v>
      </c>
      <c r="E3" s="14">
        <v>0.00276200362602901</v>
      </c>
      <c r="F3" s="14">
        <v>1.48573699051352</v>
      </c>
      <c r="G3" s="14">
        <v>0.0117600940807526</v>
      </c>
      <c r="H3" s="14">
        <v>6.32598980791846</v>
      </c>
      <c r="I3" s="15"/>
      <c r="J3" s="16">
        <v>219.6</v>
      </c>
      <c r="K3" s="14">
        <v>0.0116054951905949</v>
      </c>
      <c r="L3" s="14">
        <v>2.54856674385465</v>
      </c>
      <c r="M3" s="14">
        <v>0.00198258505521909</v>
      </c>
      <c r="N3" s="14">
        <v>0.435375678126113</v>
      </c>
      <c r="O3" s="14">
        <v>0.0269861061631635</v>
      </c>
      <c r="P3" s="14">
        <v>5.92614891343071</v>
      </c>
    </row>
    <row r="4" spans="1:19">
      <c r="A4" s="3" t="s">
        <v>12</v>
      </c>
      <c r="B4" s="13">
        <v>732.82</v>
      </c>
      <c r="C4" s="14">
        <v>0.0211350940807527</v>
      </c>
      <c r="D4" s="14">
        <v>15.4882196442572</v>
      </c>
      <c r="E4" s="14">
        <v>0.00276200362602901</v>
      </c>
      <c r="F4" s="14">
        <v>2.02405149722658</v>
      </c>
      <c r="G4" s="14">
        <v>0.0117600940807526</v>
      </c>
      <c r="H4" s="14">
        <v>8.61803214425716</v>
      </c>
      <c r="I4" s="15"/>
      <c r="J4" s="16">
        <v>310.3</v>
      </c>
      <c r="K4" s="14">
        <v>0.0116054951905949</v>
      </c>
      <c r="L4" s="14">
        <v>3.60118515764161</v>
      </c>
      <c r="M4" s="14">
        <v>0.00198258505521909</v>
      </c>
      <c r="N4" s="14">
        <v>0.615196142634485</v>
      </c>
      <c r="O4" s="14">
        <v>0.0269861061631635</v>
      </c>
      <c r="P4" s="14">
        <v>8.37378874242964</v>
      </c>
    </row>
    <row r="5" spans="1:19">
      <c r="A5" s="3" t="s">
        <v>13</v>
      </c>
      <c r="B5" s="13">
        <v>547.55</v>
      </c>
      <c r="C5" s="14">
        <v>0.0220085368180084</v>
      </c>
      <c r="D5" s="14">
        <v>12.0507743347005</v>
      </c>
      <c r="E5" s="14">
        <v>0.00254699828309805</v>
      </c>
      <c r="F5" s="14">
        <v>1.39460890991034</v>
      </c>
      <c r="G5" s="14">
        <v>0.0148798168637924</v>
      </c>
      <c r="H5" s="14">
        <v>8.14744372376955</v>
      </c>
      <c r="I5" s="15"/>
      <c r="J5" s="16">
        <v>225.4</v>
      </c>
      <c r="K5" s="14">
        <v>0.0115009996001599</v>
      </c>
      <c r="L5" s="14">
        <v>2.59232530987605</v>
      </c>
      <c r="M5" s="14">
        <v>0.00178110755697721</v>
      </c>
      <c r="N5" s="14">
        <v>0.401461643342663</v>
      </c>
      <c r="O5" s="14">
        <v>0.0299880047980808</v>
      </c>
      <c r="P5" s="14">
        <v>6.75929628148741</v>
      </c>
    </row>
    <row r="6" spans="1:19">
      <c r="A6" s="3" t="s">
        <v>14</v>
      </c>
      <c r="B6" s="13">
        <v>786.92</v>
      </c>
      <c r="C6" s="14">
        <v>0.0220085368180084</v>
      </c>
      <c r="D6" s="14">
        <v>17.3189577928272</v>
      </c>
      <c r="E6" s="14">
        <v>0.00254699828309805</v>
      </c>
      <c r="F6" s="14">
        <v>2.00428388893552</v>
      </c>
      <c r="G6" s="14">
        <v>0.0148798168637924</v>
      </c>
      <c r="H6" s="14">
        <v>11.7092254864556</v>
      </c>
      <c r="I6" s="15"/>
      <c r="J6" s="16">
        <v>352.6</v>
      </c>
      <c r="K6" s="14">
        <v>0.0115009996001599</v>
      </c>
      <c r="L6" s="14">
        <v>4.05525245901639</v>
      </c>
      <c r="M6" s="14">
        <v>0.00178110755697721</v>
      </c>
      <c r="N6" s="14">
        <v>0.628018524590164</v>
      </c>
      <c r="O6" s="14">
        <v>0.0299880047980808</v>
      </c>
      <c r="P6" s="14">
        <v>10.5737704918033</v>
      </c>
    </row>
    <row r="7" spans="1:19">
      <c r="A7" s="3" t="s">
        <v>15</v>
      </c>
      <c r="B7" s="13">
        <v>507.63</v>
      </c>
      <c r="C7" s="14">
        <v>0.0220085368180084</v>
      </c>
      <c r="D7" s="14">
        <v>11.1721935449256</v>
      </c>
      <c r="E7" s="14">
        <v>0.00254699828309805</v>
      </c>
      <c r="F7" s="14">
        <v>1.29293273844906</v>
      </c>
      <c r="G7" s="14">
        <v>0.0148798168637924</v>
      </c>
      <c r="H7" s="14">
        <v>7.55344143456696</v>
      </c>
      <c r="I7" s="15"/>
      <c r="J7" s="16">
        <v>283.33</v>
      </c>
      <c r="K7" s="14">
        <v>0.0115009996001599</v>
      </c>
      <c r="L7" s="14">
        <v>3.25857821671331</v>
      </c>
      <c r="M7" s="14">
        <v>0.00178110755697721</v>
      </c>
      <c r="N7" s="14">
        <v>0.504641204118353</v>
      </c>
      <c r="O7" s="14">
        <v>0.0299880047980808</v>
      </c>
      <c r="P7" s="14">
        <v>8.49650139944022</v>
      </c>
    </row>
    <row r="8" spans="1:19">
      <c r="A8" s="3" t="s">
        <v>16</v>
      </c>
      <c r="B8" s="13">
        <v>620.62</v>
      </c>
      <c r="C8" s="14">
        <v>0.0215903979238754</v>
      </c>
      <c r="D8" s="14">
        <v>13.3994327595156</v>
      </c>
      <c r="E8" s="14">
        <v>0.00242425749711649</v>
      </c>
      <c r="F8" s="14">
        <v>1.50454268786044</v>
      </c>
      <c r="G8" s="14">
        <v>0.0210495963091119</v>
      </c>
      <c r="H8" s="14">
        <v>13.063800461361</v>
      </c>
      <c r="I8" s="15"/>
      <c r="J8" s="16">
        <v>284.65</v>
      </c>
      <c r="K8" s="14">
        <v>0.0101794561503417</v>
      </c>
      <c r="L8" s="14">
        <v>2.89758219319476</v>
      </c>
      <c r="M8" s="14">
        <v>0.00155063069476082</v>
      </c>
      <c r="N8" s="14">
        <v>0.441387027263667</v>
      </c>
      <c r="O8" s="14">
        <v>0.0330296127562642</v>
      </c>
      <c r="P8" s="14">
        <v>9.40187927107061</v>
      </c>
    </row>
    <row r="9" spans="1:19">
      <c r="A9" s="3" t="s">
        <v>17</v>
      </c>
      <c r="B9" s="13">
        <v>363.71</v>
      </c>
      <c r="C9" s="14">
        <v>0.0215903979238754</v>
      </c>
      <c r="D9" s="14">
        <v>7.85264362889273</v>
      </c>
      <c r="E9" s="14">
        <v>0.00242425749711649</v>
      </c>
      <c r="F9" s="14">
        <v>0.881726694276239</v>
      </c>
      <c r="G9" s="14">
        <v>0.0210495963091119</v>
      </c>
      <c r="H9" s="14">
        <v>7.65594867358708</v>
      </c>
      <c r="I9" s="15"/>
      <c r="J9" s="16">
        <v>190.19</v>
      </c>
      <c r="K9" s="14">
        <v>0.0101794561503417</v>
      </c>
      <c r="L9" s="14">
        <v>1.93603076523349</v>
      </c>
      <c r="M9" s="14">
        <v>0.00155063069476082</v>
      </c>
      <c r="N9" s="14">
        <v>0.29491445183656</v>
      </c>
      <c r="O9" s="14">
        <v>0.0330296127562642</v>
      </c>
      <c r="P9" s="14">
        <v>6.28190205011389</v>
      </c>
    </row>
    <row r="10" spans="1:19">
      <c r="A10" s="3" t="s">
        <v>18</v>
      </c>
      <c r="B10" s="13">
        <v>526.54</v>
      </c>
      <c r="C10" s="14">
        <v>0.0215903979238754</v>
      </c>
      <c r="D10" s="14">
        <v>11.3682081228374</v>
      </c>
      <c r="E10" s="14">
        <v>0.00242425749711649</v>
      </c>
      <c r="F10" s="14">
        <v>1.27646854253172</v>
      </c>
      <c r="G10" s="14">
        <v>0.0210495963091119</v>
      </c>
      <c r="H10" s="14">
        <v>11.0834544405998</v>
      </c>
      <c r="I10" s="15"/>
      <c r="J10" s="16">
        <v>284.68</v>
      </c>
      <c r="K10" s="14">
        <v>0.0101794561503417</v>
      </c>
      <c r="L10" s="14">
        <v>2.89788757687927</v>
      </c>
      <c r="M10" s="14">
        <v>0.00155063069476082</v>
      </c>
      <c r="N10" s="14">
        <v>0.44143354618451</v>
      </c>
      <c r="O10" s="14">
        <v>0.0330296127562642</v>
      </c>
      <c r="P10" s="14">
        <v>9.4028701594533</v>
      </c>
    </row>
    <row r="11" spans="1:19">
      <c r="A11" s="3" t="s">
        <v>19</v>
      </c>
      <c r="B11" s="13">
        <v>834.33</v>
      </c>
      <c r="C11" s="14">
        <v>0.0213855693348365</v>
      </c>
      <c r="D11" s="14">
        <v>17.8426220631342</v>
      </c>
      <c r="E11" s="14">
        <v>0.00264782835400225</v>
      </c>
      <c r="F11" s="14">
        <v>2.2091626305947</v>
      </c>
      <c r="G11" s="14">
        <v>0.0155016910935738</v>
      </c>
      <c r="H11" s="14">
        <v>12.9335259301015</v>
      </c>
      <c r="I11" s="15"/>
      <c r="J11" s="16">
        <v>341.03</v>
      </c>
      <c r="K11" s="14">
        <v>0.0130495031284505</v>
      </c>
      <c r="L11" s="14">
        <v>4.45027205189547</v>
      </c>
      <c r="M11" s="14">
        <v>0.00191200864924549</v>
      </c>
      <c r="N11" s="14">
        <v>0.65205230965219</v>
      </c>
      <c r="O11" s="14">
        <v>0.0320206109679794</v>
      </c>
      <c r="P11" s="14">
        <v>10.91998895841</v>
      </c>
    </row>
    <row r="12" spans="1:19">
      <c r="A12" s="3" t="s">
        <v>20</v>
      </c>
      <c r="B12" s="13">
        <v>777.69</v>
      </c>
      <c r="C12" s="14">
        <v>0.0213855693348365</v>
      </c>
      <c r="D12" s="14">
        <v>16.631343416009</v>
      </c>
      <c r="E12" s="14">
        <v>0.00264782835400225</v>
      </c>
      <c r="F12" s="14">
        <v>2.05918963262401</v>
      </c>
      <c r="G12" s="14">
        <v>0.0155016910935738</v>
      </c>
      <c r="H12" s="14">
        <v>12.0555101465614</v>
      </c>
      <c r="I12" s="15"/>
      <c r="J12" s="16">
        <v>348.49</v>
      </c>
      <c r="K12" s="14">
        <v>0.0130495031284505</v>
      </c>
      <c r="L12" s="14">
        <v>4.54762134523371</v>
      </c>
      <c r="M12" s="14">
        <v>0.00191200864924549</v>
      </c>
      <c r="N12" s="14">
        <v>0.666315894175561</v>
      </c>
      <c r="O12" s="14">
        <v>0.0320206109679794</v>
      </c>
      <c r="P12" s="14">
        <v>11.1588627162311</v>
      </c>
    </row>
    <row r="13" spans="1:19">
      <c r="A13" s="3" t="s">
        <v>21</v>
      </c>
      <c r="B13" s="13">
        <v>761.02</v>
      </c>
      <c r="C13" s="14">
        <v>0.0213855693348365</v>
      </c>
      <c r="D13" s="14">
        <v>16.2748459751973</v>
      </c>
      <c r="E13" s="14">
        <v>0.00264782835400225</v>
      </c>
      <c r="F13" s="14">
        <v>2.0150503339628</v>
      </c>
      <c r="G13" s="14">
        <v>0.0155016910935738</v>
      </c>
      <c r="H13" s="14">
        <v>11.7970969560316</v>
      </c>
      <c r="I13" s="15"/>
      <c r="J13" s="16">
        <v>309.59</v>
      </c>
      <c r="K13" s="14">
        <v>0.0130495031284505</v>
      </c>
      <c r="L13" s="14">
        <v>4.03999567353699</v>
      </c>
      <c r="M13" s="14">
        <v>0.00191200864924549</v>
      </c>
      <c r="N13" s="14">
        <v>0.591938757719912</v>
      </c>
      <c r="O13" s="14">
        <v>0.0320206109679794</v>
      </c>
      <c r="P13" s="14">
        <v>9.91326094957674</v>
      </c>
    </row>
    <row r="14" spans="1:19">
      <c r="A14" s="3" t="s">
        <v>22</v>
      </c>
      <c r="B14" s="13">
        <v>721.12</v>
      </c>
      <c r="C14" s="14">
        <v>0.0227883605600934</v>
      </c>
      <c r="D14" s="14">
        <v>16.4331425670945</v>
      </c>
      <c r="E14" s="14">
        <v>0.00245254521586931</v>
      </c>
      <c r="F14" s="14">
        <v>1.76857940606768</v>
      </c>
      <c r="G14" s="14">
        <v>0.0183780630105018</v>
      </c>
      <c r="H14" s="14">
        <v>13.252788798133</v>
      </c>
      <c r="I14" s="15"/>
      <c r="J14" s="16">
        <v>366.3</v>
      </c>
      <c r="K14" s="14">
        <v>0.0123542752139933</v>
      </c>
      <c r="L14" s="14">
        <v>4.52537101088575</v>
      </c>
      <c r="M14" s="14">
        <v>0.00152004512467436</v>
      </c>
      <c r="N14" s="14">
        <v>0.556792529168217</v>
      </c>
      <c r="O14" s="14">
        <v>0.0368440640119092</v>
      </c>
      <c r="P14" s="14">
        <v>13.4959806475623</v>
      </c>
    </row>
    <row r="15" spans="1:19">
      <c r="A15" s="3" t="s">
        <v>23</v>
      </c>
      <c r="B15" s="13">
        <v>720.5</v>
      </c>
      <c r="C15" s="14">
        <v>0.0227883605600934</v>
      </c>
      <c r="D15" s="14">
        <v>16.4190137835473</v>
      </c>
      <c r="E15" s="14">
        <v>0.00245254521586931</v>
      </c>
      <c r="F15" s="14">
        <v>1.76705882803384</v>
      </c>
      <c r="G15" s="14">
        <v>0.0183780630105018</v>
      </c>
      <c r="H15" s="14">
        <v>13.2413943990665</v>
      </c>
      <c r="I15" s="15"/>
      <c r="J15" s="16">
        <v>348.5</v>
      </c>
      <c r="K15" s="14">
        <v>0.0123542752139933</v>
      </c>
      <c r="L15" s="14">
        <v>4.30546491207667</v>
      </c>
      <c r="M15" s="14">
        <v>0.00152004512467436</v>
      </c>
      <c r="N15" s="14">
        <v>0.529735725949014</v>
      </c>
      <c r="O15" s="14">
        <v>0.0368440640119092</v>
      </c>
      <c r="P15" s="14">
        <v>12.8401563081504</v>
      </c>
    </row>
    <row r="16" spans="1:19">
      <c r="A16" s="3" t="s">
        <v>24</v>
      </c>
      <c r="B16" s="13">
        <v>624.2</v>
      </c>
      <c r="C16" s="14">
        <v>0.0227883605600934</v>
      </c>
      <c r="D16" s="14">
        <v>14.2244946616103</v>
      </c>
      <c r="E16" s="14">
        <v>0.00245254521586931</v>
      </c>
      <c r="F16" s="14">
        <v>1.53087872374562</v>
      </c>
      <c r="G16" s="14">
        <v>0.0183780630105018</v>
      </c>
      <c r="H16" s="14">
        <v>11.4715869311552</v>
      </c>
      <c r="I16" s="15"/>
      <c r="J16" s="16">
        <v>305.5</v>
      </c>
      <c r="K16" s="14">
        <v>0.0123542752139933</v>
      </c>
      <c r="L16" s="14">
        <v>3.77423107787495</v>
      </c>
      <c r="M16" s="14">
        <v>0.00152004512467436</v>
      </c>
      <c r="N16" s="14">
        <v>0.464373785588016</v>
      </c>
      <c r="O16" s="14">
        <v>0.0368440640119092</v>
      </c>
      <c r="P16" s="14">
        <v>11.2558615556383</v>
      </c>
    </row>
    <row r="17" spans="1:16">
      <c r="A17" s="3" t="s">
        <v>25</v>
      </c>
      <c r="B17" s="13">
        <v>1064.95</v>
      </c>
      <c r="C17" s="14">
        <v>0.0217520176787087</v>
      </c>
      <c r="D17" s="14">
        <v>23.1648112269408</v>
      </c>
      <c r="E17" s="14">
        <v>0.00299240920445811</v>
      </c>
      <c r="F17" s="14">
        <v>3.18676618228766</v>
      </c>
      <c r="G17" s="14">
        <v>0.0198885472713297</v>
      </c>
      <c r="H17" s="14">
        <v>21.1803084166026</v>
      </c>
      <c r="I17" s="15"/>
      <c r="J17" s="16">
        <v>474.65</v>
      </c>
      <c r="K17" s="14">
        <v>0.0140148093298778</v>
      </c>
      <c r="L17" s="14">
        <v>6.65212924842651</v>
      </c>
      <c r="M17" s="14">
        <v>0.00233450342465753</v>
      </c>
      <c r="N17" s="14">
        <v>1.1080720505137</v>
      </c>
      <c r="O17" s="14">
        <v>0.0324879674194743</v>
      </c>
      <c r="P17" s="14">
        <v>15.4204137356535</v>
      </c>
    </row>
    <row r="18" spans="1:16">
      <c r="A18" s="3" t="s">
        <v>26</v>
      </c>
      <c r="B18" s="13">
        <v>481.1</v>
      </c>
      <c r="C18" s="14">
        <v>0.0217520176787087</v>
      </c>
      <c r="D18" s="14">
        <v>10.4648957052267</v>
      </c>
      <c r="E18" s="14">
        <v>0.00299240920445811</v>
      </c>
      <c r="F18" s="14">
        <v>1.4396480682648</v>
      </c>
      <c r="G18" s="14">
        <v>0.0198885472713297</v>
      </c>
      <c r="H18" s="14">
        <v>9.56838009223674</v>
      </c>
      <c r="I18" s="15"/>
      <c r="J18" s="16">
        <v>246.2</v>
      </c>
      <c r="K18" s="14">
        <v>0.0140148093298778</v>
      </c>
      <c r="L18" s="14">
        <v>3.45044605701592</v>
      </c>
      <c r="M18" s="14">
        <v>0.00233450342465753</v>
      </c>
      <c r="N18" s="14">
        <v>0.574754743150685</v>
      </c>
      <c r="O18" s="14">
        <v>0.0324879674194743</v>
      </c>
      <c r="P18" s="14">
        <v>7.99853757867456</v>
      </c>
    </row>
    <row r="19" spans="1:16">
      <c r="A19" s="3" t="s">
        <v>27</v>
      </c>
      <c r="B19" s="13">
        <v>809.6</v>
      </c>
      <c r="C19" s="14">
        <v>0.0217520176787087</v>
      </c>
      <c r="D19" s="14">
        <v>17.6104335126826</v>
      </c>
      <c r="E19" s="14">
        <v>0.00299240920445811</v>
      </c>
      <c r="F19" s="14">
        <v>2.42265449192928</v>
      </c>
      <c r="G19" s="14">
        <v>0.0198885472713297</v>
      </c>
      <c r="H19" s="14">
        <v>16.1017678708686</v>
      </c>
      <c r="I19" s="15"/>
      <c r="J19" s="16">
        <v>388.5</v>
      </c>
      <c r="K19" s="14">
        <v>0.0140148093298778</v>
      </c>
      <c r="L19" s="14">
        <v>5.44475342465753</v>
      </c>
      <c r="M19" s="14">
        <v>0.00233450342465753</v>
      </c>
      <c r="N19" s="14">
        <v>0.906954580479452</v>
      </c>
      <c r="O19" s="14">
        <v>0.0324879674194743</v>
      </c>
      <c r="P19" s="14">
        <v>12.6215753424658</v>
      </c>
    </row>
    <row r="20" spans="1:16">
      <c r="A20" s="3" t="s">
        <v>28</v>
      </c>
      <c r="B20" s="13">
        <v>342.89</v>
      </c>
      <c r="C20" s="14">
        <v>0.0226986174458381</v>
      </c>
      <c r="D20" s="14">
        <v>7.78312893600342</v>
      </c>
      <c r="E20" s="14">
        <v>0.00310012827822121</v>
      </c>
      <c r="F20" s="14">
        <v>1.06300298531927</v>
      </c>
      <c r="G20" s="14">
        <v>0.0176738882554162</v>
      </c>
      <c r="H20" s="14">
        <v>6.06019954389966</v>
      </c>
      <c r="I20" s="15"/>
      <c r="J20" s="16">
        <v>148.29</v>
      </c>
      <c r="K20" s="14">
        <v>0.0117159875046624</v>
      </c>
      <c r="L20" s="14">
        <v>1.73736378706639</v>
      </c>
      <c r="M20" s="14">
        <v>0.00179960415889593</v>
      </c>
      <c r="N20" s="14">
        <v>0.266863300722678</v>
      </c>
      <c r="O20" s="14">
        <v>0.0318910854158896</v>
      </c>
      <c r="P20" s="14">
        <v>4.72912905632227</v>
      </c>
    </row>
    <row r="21" spans="1:16">
      <c r="A21" s="3" t="s">
        <v>29</v>
      </c>
      <c r="B21" s="13">
        <v>538.67</v>
      </c>
      <c r="C21" s="14">
        <v>0.0226986174458381</v>
      </c>
      <c r="D21" s="14">
        <v>12.2270642595496</v>
      </c>
      <c r="E21" s="14">
        <v>0.00310012827822121</v>
      </c>
      <c r="F21" s="14">
        <v>1.66994609962942</v>
      </c>
      <c r="G21" s="14">
        <v>0.0176738882554162</v>
      </c>
      <c r="H21" s="14">
        <v>9.52039338654504</v>
      </c>
      <c r="I21" s="15"/>
      <c r="J21" s="16">
        <v>361.48</v>
      </c>
      <c r="K21" s="14">
        <v>0.0117159875046624</v>
      </c>
      <c r="L21" s="14">
        <v>4.23509516318538</v>
      </c>
      <c r="M21" s="14">
        <v>0.00179960415889593</v>
      </c>
      <c r="N21" s="14">
        <v>0.650520911357702</v>
      </c>
      <c r="O21" s="14">
        <v>0.0318910854158896</v>
      </c>
      <c r="P21" s="14">
        <v>11.5279895561358</v>
      </c>
    </row>
    <row r="22" spans="1:16">
      <c r="A22" s="3" t="s">
        <v>30</v>
      </c>
      <c r="B22" s="13">
        <v>574.26</v>
      </c>
      <c r="C22" s="14">
        <v>0.0226986174458381</v>
      </c>
      <c r="D22" s="14">
        <v>13.034908054447</v>
      </c>
      <c r="E22" s="14">
        <v>0.00310012827822121</v>
      </c>
      <c r="F22" s="14">
        <v>1.78027966505131</v>
      </c>
      <c r="G22" s="14">
        <v>0.0176738882554162</v>
      </c>
      <c r="H22" s="14">
        <v>10.1494070695553</v>
      </c>
      <c r="I22" s="15"/>
      <c r="J22" s="16">
        <v>257.09</v>
      </c>
      <c r="K22" s="14">
        <v>0.0117159875046624</v>
      </c>
      <c r="L22" s="14">
        <v>3.01206322757367</v>
      </c>
      <c r="M22" s="14">
        <v>0.00179960415889593</v>
      </c>
      <c r="N22" s="14">
        <v>0.462660233210556</v>
      </c>
      <c r="O22" s="14">
        <v>0.0318910854158896</v>
      </c>
      <c r="P22" s="14">
        <v>8.19887914957105</v>
      </c>
    </row>
    <row r="23" spans="1:16">
      <c r="A23" s="3" t="s">
        <v>31</v>
      </c>
      <c r="B23" s="13">
        <v>690.86</v>
      </c>
      <c r="C23" s="14">
        <v>0.0224203736654804</v>
      </c>
      <c r="D23" s="14">
        <v>15.4893393505338</v>
      </c>
      <c r="E23" s="14">
        <v>0.00234689798339264</v>
      </c>
      <c r="F23" s="14">
        <v>1.62137794080664</v>
      </c>
      <c r="G23" s="14">
        <v>0.0136417556346382</v>
      </c>
      <c r="H23" s="14">
        <v>9.42454329774615</v>
      </c>
      <c r="I23" s="15"/>
      <c r="J23" s="16">
        <v>321.77</v>
      </c>
      <c r="K23" s="14">
        <v>0.0134576037304911</v>
      </c>
      <c r="L23" s="14">
        <v>4.33025315236011</v>
      </c>
      <c r="M23" s="14">
        <v>0.0016956794822992</v>
      </c>
      <c r="N23" s="14">
        <v>0.545618787019414</v>
      </c>
      <c r="O23" s="14">
        <v>0.0282641796726304</v>
      </c>
      <c r="P23" s="14">
        <v>9.09456509326228</v>
      </c>
    </row>
    <row r="24" spans="1:16">
      <c r="A24" s="3" t="s">
        <v>32</v>
      </c>
      <c r="B24" s="13">
        <v>749.58</v>
      </c>
      <c r="C24" s="14">
        <v>0.0224203736654804</v>
      </c>
      <c r="D24" s="14">
        <v>16.8058636921708</v>
      </c>
      <c r="E24" s="14">
        <v>0.00234689798339264</v>
      </c>
      <c r="F24" s="14">
        <v>1.75918779039146</v>
      </c>
      <c r="G24" s="14">
        <v>0.0136417556346382</v>
      </c>
      <c r="H24" s="14">
        <v>10.2255871886121</v>
      </c>
      <c r="I24" s="15"/>
      <c r="J24" s="16">
        <v>381.36</v>
      </c>
      <c r="K24" s="14">
        <v>0.0134576037304911</v>
      </c>
      <c r="L24" s="14">
        <v>5.13219175866007</v>
      </c>
      <c r="M24" s="14">
        <v>0.0016956794822992</v>
      </c>
      <c r="N24" s="14">
        <v>0.646664327369623</v>
      </c>
      <c r="O24" s="14">
        <v>0.0282641796726304</v>
      </c>
      <c r="P24" s="14">
        <v>10.7788275599543</v>
      </c>
    </row>
    <row r="25" spans="1:16">
      <c r="A25" s="3" t="s">
        <v>33</v>
      </c>
      <c r="B25" s="13">
        <v>544.88</v>
      </c>
      <c r="C25" s="14">
        <v>0.0224203736654804</v>
      </c>
      <c r="D25" s="14">
        <v>12.216413202847</v>
      </c>
      <c r="E25" s="14">
        <v>0.00234689798339264</v>
      </c>
      <c r="F25" s="14">
        <v>1.27877777319098</v>
      </c>
      <c r="G25" s="14">
        <v>0.0136417556346382</v>
      </c>
      <c r="H25" s="14">
        <v>7.43311981020166</v>
      </c>
      <c r="I25" s="15"/>
      <c r="J25" s="16">
        <v>275</v>
      </c>
      <c r="K25" s="14">
        <v>0.0134576037304911</v>
      </c>
      <c r="L25" s="14">
        <v>3.70084102588504</v>
      </c>
      <c r="M25" s="14">
        <v>0.0016956794822992</v>
      </c>
      <c r="N25" s="14">
        <v>0.46631185763228</v>
      </c>
      <c r="O25" s="14">
        <v>0.0282641796726304</v>
      </c>
      <c r="P25" s="14">
        <v>7.77264940997335</v>
      </c>
    </row>
    <row r="26" spans="1:16">
      <c r="A26" s="3" t="s">
        <v>34</v>
      </c>
      <c r="B26" s="13">
        <v>675.96</v>
      </c>
      <c r="C26" s="14">
        <v>0.0220420792079208</v>
      </c>
      <c r="D26" s="14">
        <v>14.8995638613861</v>
      </c>
      <c r="E26" s="14">
        <v>0.00231224559955996</v>
      </c>
      <c r="F26" s="14">
        <v>1.56298553547855</v>
      </c>
      <c r="G26" s="14">
        <v>0.0162266226622662</v>
      </c>
      <c r="H26" s="14">
        <v>10.9685478547855</v>
      </c>
      <c r="I26" s="15"/>
      <c r="J26" s="16">
        <v>321.5</v>
      </c>
      <c r="K26" s="14">
        <v>0.0120161068281938</v>
      </c>
      <c r="L26" s="14">
        <v>3.86317834526432</v>
      </c>
      <c r="M26" s="14">
        <v>0.00177119631057269</v>
      </c>
      <c r="N26" s="14">
        <v>0.569439613849119</v>
      </c>
      <c r="O26" s="14">
        <v>0.0333149779735683</v>
      </c>
      <c r="P26" s="14">
        <v>10.7107654185022</v>
      </c>
    </row>
    <row r="27" spans="1:16">
      <c r="A27" s="3" t="s">
        <v>35</v>
      </c>
      <c r="B27" s="13">
        <v>826.7</v>
      </c>
      <c r="C27" s="14">
        <v>0.0220420792079208</v>
      </c>
      <c r="D27" s="14">
        <v>18.2221868811881</v>
      </c>
      <c r="E27" s="14">
        <v>0.00231224559955996</v>
      </c>
      <c r="F27" s="14">
        <v>1.91153343715621</v>
      </c>
      <c r="G27" s="14">
        <v>0.0162266226622662</v>
      </c>
      <c r="H27" s="14">
        <v>13.4145489548955</v>
      </c>
      <c r="I27" s="15"/>
      <c r="J27" s="16">
        <v>384.25</v>
      </c>
      <c r="K27" s="14">
        <v>0.0120161068281938</v>
      </c>
      <c r="L27" s="14">
        <v>4.61718904873348</v>
      </c>
      <c r="M27" s="14">
        <v>0.00177119631057269</v>
      </c>
      <c r="N27" s="14">
        <v>0.680582182337555</v>
      </c>
      <c r="O27" s="14">
        <v>0.0333149779735683</v>
      </c>
      <c r="P27" s="14">
        <v>12.8012802863436</v>
      </c>
    </row>
    <row r="28" spans="1:16">
      <c r="A28" s="3" t="s">
        <v>36</v>
      </c>
      <c r="B28" s="13">
        <v>623.63</v>
      </c>
      <c r="C28" s="14">
        <v>0.0220420792079208</v>
      </c>
      <c r="D28" s="14">
        <v>13.7461018564356</v>
      </c>
      <c r="E28" s="14">
        <v>0.00231224559955996</v>
      </c>
      <c r="F28" s="14">
        <v>1.44198572325357</v>
      </c>
      <c r="G28" s="14">
        <v>0.0162266226622662</v>
      </c>
      <c r="H28" s="14">
        <v>10.1194086908691</v>
      </c>
      <c r="I28" s="15"/>
      <c r="J28" s="16">
        <v>292.88</v>
      </c>
      <c r="K28" s="14">
        <v>0.0120161068281938</v>
      </c>
      <c r="L28" s="14">
        <v>3.51927736784141</v>
      </c>
      <c r="M28" s="14">
        <v>0.00177119631057269</v>
      </c>
      <c r="N28" s="14">
        <v>0.518747975440529</v>
      </c>
      <c r="O28" s="14">
        <v>0.0333149779735683</v>
      </c>
      <c r="P28" s="14">
        <v>9.75729074889868</v>
      </c>
    </row>
    <row r="29" spans="1:16">
      <c r="A29" s="3" t="s">
        <v>37</v>
      </c>
      <c r="B29" s="13">
        <v>258.33</v>
      </c>
      <c r="C29" s="14">
        <v>0.0232990080087368</v>
      </c>
      <c r="D29" s="14">
        <v>6.01883273889698</v>
      </c>
      <c r="E29" s="14">
        <v>0.00256493310884601</v>
      </c>
      <c r="F29" s="14">
        <v>0.662599170008191</v>
      </c>
      <c r="G29" s="14">
        <v>0.0133782307972333</v>
      </c>
      <c r="H29" s="14">
        <v>3.45599836184929</v>
      </c>
      <c r="I29" s="15"/>
      <c r="J29" s="16">
        <v>204.51</v>
      </c>
      <c r="K29" s="14">
        <v>0.0123997933884298</v>
      </c>
      <c r="L29" s="14">
        <v>2.53588174586777</v>
      </c>
      <c r="M29" s="14">
        <v>0.00146169716646989</v>
      </c>
      <c r="N29" s="14">
        <v>0.298931687514758</v>
      </c>
      <c r="O29" s="14">
        <v>0.0215466351829988</v>
      </c>
      <c r="P29" s="14">
        <v>4.40650236127509</v>
      </c>
    </row>
    <row r="30" spans="1:16">
      <c r="A30" s="3" t="s">
        <v>38</v>
      </c>
      <c r="B30" s="13">
        <v>836.3</v>
      </c>
      <c r="C30" s="14">
        <v>0.0232990080087368</v>
      </c>
      <c r="D30" s="14">
        <v>19.4849603977066</v>
      </c>
      <c r="E30" s="14">
        <v>0.00256493310884601</v>
      </c>
      <c r="F30" s="14">
        <v>2.14505355892792</v>
      </c>
      <c r="G30" s="14">
        <v>0.0133782307972333</v>
      </c>
      <c r="H30" s="14">
        <v>11.1882144157262</v>
      </c>
      <c r="I30" s="15"/>
      <c r="J30" s="16">
        <v>414.7</v>
      </c>
      <c r="K30" s="14">
        <v>0.0123997933884298</v>
      </c>
      <c r="L30" s="14">
        <v>5.14219431818182</v>
      </c>
      <c r="M30" s="14">
        <v>0.00146169716646989</v>
      </c>
      <c r="N30" s="14">
        <v>0.606165814935065</v>
      </c>
      <c r="O30" s="14">
        <v>0.0215466351829988</v>
      </c>
      <c r="P30" s="14">
        <v>8.93538961038961</v>
      </c>
    </row>
    <row r="31" spans="1:16">
      <c r="A31" s="3" t="s">
        <v>39</v>
      </c>
      <c r="B31" s="13">
        <v>949.78</v>
      </c>
      <c r="C31" s="14">
        <v>0.0232990080087368</v>
      </c>
      <c r="D31" s="14">
        <v>22.128931826538</v>
      </c>
      <c r="E31" s="14">
        <v>0.00256493310884601</v>
      </c>
      <c r="F31" s="14">
        <v>2.43612216811977</v>
      </c>
      <c r="G31" s="14">
        <v>0.0133782307972333</v>
      </c>
      <c r="H31" s="14">
        <v>12.7063760465963</v>
      </c>
      <c r="I31" s="15"/>
      <c r="J31" s="16">
        <v>382.96</v>
      </c>
      <c r="K31" s="14">
        <v>0.0123997933884298</v>
      </c>
      <c r="L31" s="14">
        <v>4.74862487603306</v>
      </c>
      <c r="M31" s="14">
        <v>0.00146169716646989</v>
      </c>
      <c r="N31" s="14">
        <v>0.559771546871311</v>
      </c>
      <c r="O31" s="14">
        <v>0.0215466351829988</v>
      </c>
      <c r="P31" s="14">
        <v>8.25149940968123</v>
      </c>
    </row>
    <row r="32" spans="1:16">
      <c r="A32" s="3" t="s">
        <v>40</v>
      </c>
      <c r="B32" s="13">
        <v>704.55</v>
      </c>
      <c r="C32" s="14">
        <v>0.0209794044222539</v>
      </c>
      <c r="D32" s="14">
        <v>14.781039385699</v>
      </c>
      <c r="E32" s="14">
        <v>0.00251279288516405</v>
      </c>
      <c r="F32" s="14">
        <v>1.77038822724233</v>
      </c>
      <c r="G32" s="14">
        <v>0.0115014265335235</v>
      </c>
      <c r="H32" s="14">
        <v>8.10333006419401</v>
      </c>
      <c r="I32" s="15"/>
      <c r="J32" s="16">
        <v>307.3</v>
      </c>
      <c r="K32" s="14">
        <v>0.0126419902912621</v>
      </c>
      <c r="L32" s="14">
        <v>3.88488361650485</v>
      </c>
      <c r="M32" s="14">
        <v>0.00213423408845739</v>
      </c>
      <c r="N32" s="14">
        <v>0.655850135382955</v>
      </c>
      <c r="O32" s="14">
        <v>0.0253505933117584</v>
      </c>
      <c r="P32" s="14">
        <v>7.79023732470334</v>
      </c>
    </row>
    <row r="33" spans="1:16">
      <c r="A33" s="3" t="s">
        <v>41</v>
      </c>
      <c r="B33" s="13">
        <v>848.96</v>
      </c>
      <c r="C33" s="14">
        <v>0.0209794044222539</v>
      </c>
      <c r="D33" s="14">
        <v>17.8106751783167</v>
      </c>
      <c r="E33" s="14">
        <v>0.00251279288516405</v>
      </c>
      <c r="F33" s="14">
        <v>2.13326064778887</v>
      </c>
      <c r="G33" s="14">
        <v>0.0115014265335235</v>
      </c>
      <c r="H33" s="14">
        <v>9.76425106990014</v>
      </c>
      <c r="I33" s="15"/>
      <c r="J33" s="16">
        <v>365.01</v>
      </c>
      <c r="K33" s="14">
        <v>0.0126419902912621</v>
      </c>
      <c r="L33" s="14">
        <v>4.61445287621359</v>
      </c>
      <c r="M33" s="14">
        <v>0.00213423408845739</v>
      </c>
      <c r="N33" s="14">
        <v>0.779016784627831</v>
      </c>
      <c r="O33" s="14">
        <v>0.0253505933117584</v>
      </c>
      <c r="P33" s="14">
        <v>9.25322006472492</v>
      </c>
    </row>
    <row r="34" spans="1:16">
      <c r="A34" s="3" t="s">
        <v>42</v>
      </c>
      <c r="B34" s="13">
        <v>1001.51</v>
      </c>
      <c r="C34" s="14">
        <v>0.0209794044222539</v>
      </c>
      <c r="D34" s="14">
        <v>21.0110833229315</v>
      </c>
      <c r="E34" s="14">
        <v>0.00251279288516405</v>
      </c>
      <c r="F34" s="14">
        <v>2.51658720242065</v>
      </c>
      <c r="G34" s="14">
        <v>0.0115014265335235</v>
      </c>
      <c r="H34" s="14">
        <v>11.5187936875891</v>
      </c>
      <c r="I34" s="15"/>
      <c r="J34" s="16">
        <v>412.19</v>
      </c>
      <c r="K34" s="14">
        <v>0.0126419902912621</v>
      </c>
      <c r="L34" s="14">
        <v>5.21090197815534</v>
      </c>
      <c r="M34" s="14">
        <v>0.00213423408845739</v>
      </c>
      <c r="N34" s="14">
        <v>0.879709948921251</v>
      </c>
      <c r="O34" s="14">
        <v>0.0253505933117584</v>
      </c>
      <c r="P34" s="14">
        <v>10.4492610571737</v>
      </c>
    </row>
    <row r="35" spans="1:16">
      <c r="A35" s="3" t="s">
        <v>43</v>
      </c>
      <c r="B35" s="13">
        <v>494.03</v>
      </c>
      <c r="C35" s="14">
        <v>0.0210051903114187</v>
      </c>
      <c r="D35" s="14">
        <v>10.3771941695502</v>
      </c>
      <c r="E35" s="14">
        <v>0.00228193194925029</v>
      </c>
      <c r="F35" s="14">
        <v>1.12734284088812</v>
      </c>
      <c r="G35" s="14">
        <v>0.013840830449827</v>
      </c>
      <c r="H35" s="14">
        <v>6.83778546712803</v>
      </c>
      <c r="I35" s="15"/>
      <c r="J35" s="16">
        <v>187.71</v>
      </c>
      <c r="K35" s="14">
        <v>0.013013624567474</v>
      </c>
      <c r="L35" s="14">
        <v>2.44278746756055</v>
      </c>
      <c r="M35" s="14">
        <v>0.00185495530565167</v>
      </c>
      <c r="N35" s="14">
        <v>0.348193660423876</v>
      </c>
      <c r="O35" s="14">
        <v>0.0297001153402538</v>
      </c>
      <c r="P35" s="14">
        <v>5.57500865051903</v>
      </c>
    </row>
    <row r="36" spans="1:16">
      <c r="A36" s="3" t="s">
        <v>44</v>
      </c>
      <c r="B36" s="13">
        <v>371.6</v>
      </c>
      <c r="C36" s="14">
        <v>0.0210051903114187</v>
      </c>
      <c r="D36" s="14">
        <v>7.80552871972319</v>
      </c>
      <c r="E36" s="14">
        <v>0.00228193194925029</v>
      </c>
      <c r="F36" s="14">
        <v>0.847965912341407</v>
      </c>
      <c r="G36" s="14">
        <v>0.013840830449827</v>
      </c>
      <c r="H36" s="14">
        <v>5.14325259515571</v>
      </c>
      <c r="I36" s="15"/>
      <c r="J36" s="16">
        <v>169.75</v>
      </c>
      <c r="K36" s="14">
        <v>0.013013624567474</v>
      </c>
      <c r="L36" s="14">
        <v>2.20906277032872</v>
      </c>
      <c r="M36" s="14">
        <v>0.00185495530565167</v>
      </c>
      <c r="N36" s="14">
        <v>0.314878663134371</v>
      </c>
      <c r="O36" s="14">
        <v>0.0297001153402538</v>
      </c>
      <c r="P36" s="14">
        <v>5.04159457900807</v>
      </c>
    </row>
    <row r="37" spans="1:16">
      <c r="A37" s="3" t="s">
        <v>45</v>
      </c>
      <c r="B37" s="13">
        <v>647.94</v>
      </c>
      <c r="C37" s="14">
        <v>0.0210051903114187</v>
      </c>
      <c r="D37" s="14">
        <v>13.6101030103806</v>
      </c>
      <c r="E37" s="14">
        <v>0.00228193194925029</v>
      </c>
      <c r="F37" s="14">
        <v>1.47855498719723</v>
      </c>
      <c r="G37" s="14">
        <v>0.013840830449827</v>
      </c>
      <c r="H37" s="14">
        <v>8.9680276816609</v>
      </c>
      <c r="I37" s="15"/>
      <c r="J37" s="16">
        <v>302.96</v>
      </c>
      <c r="K37" s="14">
        <v>0.013013624567474</v>
      </c>
      <c r="L37" s="14">
        <v>3.94260769896194</v>
      </c>
      <c r="M37" s="14">
        <v>0.00185495530565167</v>
      </c>
      <c r="N37" s="14">
        <v>0.561977259400231</v>
      </c>
      <c r="O37" s="14">
        <v>0.0297001153402538</v>
      </c>
      <c r="P37" s="14">
        <v>8.99794694348328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190" zoomScaleNormal="190" workbookViewId="0">
      <selection activeCell="B5" sqref="B5"/>
    </sheetView>
  </sheetViews>
  <sheetFormatPr defaultColWidth="9" defaultRowHeight="15" outlineLevelCol="7"/>
  <cols>
    <col min="1" max="2" width="9" style="1"/>
    <col min="3" max="3" width="12.625" style="1"/>
    <col min="4" max="5" width="11.8833333333333" style="1" customWidth="1"/>
    <col min="6" max="7" width="11.2833333333333" style="1" customWidth="1"/>
    <col min="8" max="8" width="10.75" style="1" customWidth="1"/>
  </cols>
  <sheetData>
    <row r="1" ht="30" spans="1:8">
      <c r="A1" s="2" t="s">
        <v>0</v>
      </c>
      <c r="B1" s="2" t="s">
        <v>46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10</v>
      </c>
      <c r="B2" s="1">
        <v>130.1</v>
      </c>
      <c r="C2" s="1">
        <v>0.0116054951905949</v>
      </c>
      <c r="D2" s="1">
        <v>1.5098749242964</v>
      </c>
      <c r="E2" s="1">
        <v>0.00198258505521909</v>
      </c>
      <c r="F2" s="1">
        <v>0.257934315684004</v>
      </c>
      <c r="G2" s="1">
        <v>0.0269861061631635</v>
      </c>
      <c r="H2" s="1">
        <f>B2*G2</f>
        <v>3.51089241182757</v>
      </c>
    </row>
    <row r="3" spans="1:8">
      <c r="A3" s="3" t="s">
        <v>11</v>
      </c>
      <c r="B3" s="1">
        <v>182.72</v>
      </c>
      <c r="C3" s="1">
        <v>0.0116054951905949</v>
      </c>
      <c r="D3" s="1">
        <v>2.12055608122551</v>
      </c>
      <c r="E3" s="1">
        <v>0.00198258505521909</v>
      </c>
      <c r="F3" s="1">
        <v>0.362257941289633</v>
      </c>
      <c r="G3" s="1">
        <v>0.0269861061631635</v>
      </c>
      <c r="H3" s="1">
        <f t="shared" ref="H3:H10" si="0">B3*G3</f>
        <v>4.93090131813324</v>
      </c>
    </row>
    <row r="4" spans="1:8">
      <c r="A4" s="3" t="s">
        <v>12</v>
      </c>
      <c r="B4" s="1">
        <v>87.35</v>
      </c>
      <c r="C4" s="1">
        <v>0.0116054951905949</v>
      </c>
      <c r="D4" s="1">
        <v>1.01374000489847</v>
      </c>
      <c r="E4" s="1">
        <v>0.00198258505521909</v>
      </c>
      <c r="F4" s="1">
        <v>0.173178804573388</v>
      </c>
      <c r="G4" s="1">
        <v>0.0269861061631635</v>
      </c>
      <c r="H4" s="1">
        <f t="shared" si="0"/>
        <v>2.35723637335233</v>
      </c>
    </row>
    <row r="5" spans="1:8">
      <c r="A5" s="3" t="s">
        <v>47</v>
      </c>
      <c r="B5" s="1">
        <v>156.4</v>
      </c>
      <c r="C5" s="1">
        <v>0.0116054951905949</v>
      </c>
      <c r="D5" s="1">
        <v>1.81509944780905</v>
      </c>
      <c r="E5" s="1">
        <v>0.00198258505521909</v>
      </c>
      <c r="F5" s="1">
        <v>0.310076302636266</v>
      </c>
      <c r="G5" s="1">
        <v>0.0269861061631635</v>
      </c>
      <c r="H5" s="1">
        <f t="shared" si="0"/>
        <v>4.22062700391877</v>
      </c>
    </row>
    <row r="6" spans="1:8">
      <c r="A6" s="3" t="s">
        <v>48</v>
      </c>
      <c r="B6" s="1">
        <v>162.47</v>
      </c>
      <c r="C6" s="1">
        <v>0.0116054951905949</v>
      </c>
      <c r="D6" s="1">
        <v>1.88554480361596</v>
      </c>
      <c r="E6" s="1">
        <v>0.00198258505521909</v>
      </c>
      <c r="F6" s="1">
        <v>0.322110593921446</v>
      </c>
      <c r="G6" s="1">
        <v>0.0269861061631635</v>
      </c>
      <c r="H6" s="1">
        <f t="shared" si="0"/>
        <v>4.38443266832918</v>
      </c>
    </row>
    <row r="7" spans="1:8">
      <c r="A7" s="3" t="s">
        <v>13</v>
      </c>
      <c r="B7" s="1">
        <v>83.12</v>
      </c>
      <c r="C7" s="1">
        <v>0.0115009996001599</v>
      </c>
      <c r="D7" s="1">
        <v>0.955963086765294</v>
      </c>
      <c r="E7" s="1">
        <v>0.00178110755697721</v>
      </c>
      <c r="F7" s="1">
        <v>0.148045660135946</v>
      </c>
      <c r="G7" s="1">
        <v>0.0299880047980808</v>
      </c>
      <c r="H7" s="1">
        <f t="shared" si="0"/>
        <v>2.49260295881647</v>
      </c>
    </row>
    <row r="8" spans="1:8">
      <c r="A8" s="3" t="s">
        <v>14</v>
      </c>
      <c r="B8" s="1">
        <v>194.8</v>
      </c>
      <c r="C8" s="1">
        <v>0.0115009996001599</v>
      </c>
      <c r="D8" s="1">
        <v>2.24039472211115</v>
      </c>
      <c r="E8" s="1">
        <v>0.00178110755697721</v>
      </c>
      <c r="F8" s="1">
        <v>0.34695975209916</v>
      </c>
      <c r="G8" s="1">
        <v>0.0299880047980808</v>
      </c>
      <c r="H8" s="1">
        <f t="shared" si="0"/>
        <v>5.84166333466613</v>
      </c>
    </row>
    <row r="9" spans="1:8">
      <c r="A9" s="3" t="s">
        <v>15</v>
      </c>
      <c r="B9" s="1">
        <v>147.44</v>
      </c>
      <c r="C9" s="1">
        <v>0.0115009996001599</v>
      </c>
      <c r="D9" s="1">
        <v>1.69570738104758</v>
      </c>
      <c r="E9" s="1">
        <v>0.00178110755697721</v>
      </c>
      <c r="F9" s="1">
        <v>0.26260649820072</v>
      </c>
      <c r="G9" s="1">
        <v>0.0299880047980808</v>
      </c>
      <c r="H9" s="1">
        <f t="shared" si="0"/>
        <v>4.42143142742903</v>
      </c>
    </row>
    <row r="10" spans="1:8">
      <c r="A10" s="3" t="s">
        <v>49</v>
      </c>
      <c r="B10" s="1">
        <v>154.71</v>
      </c>
      <c r="C10" s="1">
        <v>0.0115009996001599</v>
      </c>
      <c r="D10" s="1">
        <v>1.77931964814074</v>
      </c>
      <c r="E10" s="1">
        <v>0.00178110755697721</v>
      </c>
      <c r="F10" s="1">
        <v>0.275555150139944</v>
      </c>
      <c r="G10" s="1">
        <v>0.0299880047980808</v>
      </c>
      <c r="H10" s="1">
        <f t="shared" si="0"/>
        <v>4.63944422231108</v>
      </c>
    </row>
    <row r="11" spans="1:8">
      <c r="A11" s="3" t="s">
        <v>50</v>
      </c>
      <c r="B11" s="1">
        <v>173.14</v>
      </c>
      <c r="C11" s="1">
        <v>0.0115009996001599</v>
      </c>
      <c r="D11" s="1">
        <v>1.99128307077169</v>
      </c>
      <c r="E11" s="1">
        <v>0.00178110755697721</v>
      </c>
      <c r="F11" s="1">
        <v>0.308380962415034</v>
      </c>
      <c r="G11" s="1">
        <v>0.0299880047980808</v>
      </c>
      <c r="H11" s="1">
        <f t="shared" ref="H11:H42" si="1">B11*G11</f>
        <v>5.1921231507397</v>
      </c>
    </row>
    <row r="12" spans="1:8">
      <c r="A12" s="3" t="s">
        <v>16</v>
      </c>
      <c r="B12" s="1">
        <v>122.68</v>
      </c>
      <c r="C12" s="1">
        <v>0.0101794561503417</v>
      </c>
      <c r="D12" s="1">
        <v>1.24881568052392</v>
      </c>
      <c r="E12" s="1">
        <v>0.00155063069476082</v>
      </c>
      <c r="F12" s="1">
        <v>0.190231373633257</v>
      </c>
      <c r="G12" s="1">
        <v>0.0330296127562642</v>
      </c>
      <c r="H12" s="1">
        <f t="shared" si="1"/>
        <v>4.0520728929385</v>
      </c>
    </row>
    <row r="13" spans="1:8">
      <c r="A13" s="3" t="s">
        <v>17</v>
      </c>
      <c r="B13" s="1">
        <v>123.36</v>
      </c>
      <c r="C13" s="1">
        <v>0.0101794561503417</v>
      </c>
      <c r="D13" s="1">
        <v>1.25573771070615</v>
      </c>
      <c r="E13" s="1">
        <v>0.00155063069476082</v>
      </c>
      <c r="F13" s="1">
        <v>0.191285802505695</v>
      </c>
      <c r="G13" s="1">
        <v>0.0330296127562642</v>
      </c>
      <c r="H13" s="1">
        <f t="shared" si="1"/>
        <v>4.07453302961276</v>
      </c>
    </row>
    <row r="14" spans="1:8">
      <c r="A14" s="3" t="s">
        <v>18</v>
      </c>
      <c r="B14" s="1">
        <v>173.35</v>
      </c>
      <c r="C14" s="1">
        <v>0.0101794561503417</v>
      </c>
      <c r="D14" s="1">
        <v>1.76460872366173</v>
      </c>
      <c r="E14" s="1">
        <v>0.00155063069476082</v>
      </c>
      <c r="F14" s="1">
        <v>0.268801830936788</v>
      </c>
      <c r="G14" s="1">
        <v>0.0330296127562642</v>
      </c>
      <c r="H14" s="1">
        <f t="shared" si="1"/>
        <v>5.7256833712984</v>
      </c>
    </row>
    <row r="15" spans="1:8">
      <c r="A15" s="3" t="s">
        <v>51</v>
      </c>
      <c r="B15" s="1">
        <v>120.98</v>
      </c>
      <c r="C15" s="1">
        <v>0.0101794561503417</v>
      </c>
      <c r="D15" s="1">
        <v>1.23151060506834</v>
      </c>
      <c r="E15" s="1">
        <v>0.00155063069476082</v>
      </c>
      <c r="F15" s="1">
        <v>0.187595301452164</v>
      </c>
      <c r="G15" s="1">
        <v>0.0330296127562642</v>
      </c>
      <c r="H15" s="1">
        <f t="shared" si="1"/>
        <v>3.99592255125285</v>
      </c>
    </row>
    <row r="16" spans="1:8">
      <c r="A16" s="3" t="s">
        <v>52</v>
      </c>
      <c r="B16" s="1">
        <v>147.12</v>
      </c>
      <c r="C16" s="1">
        <v>0.0101794561503417</v>
      </c>
      <c r="D16" s="1">
        <v>1.49760158883827</v>
      </c>
      <c r="E16" s="1">
        <v>0.00155063069476082</v>
      </c>
      <c r="F16" s="1">
        <v>0.228128787813212</v>
      </c>
      <c r="G16" s="1">
        <v>0.0330296127562642</v>
      </c>
      <c r="H16" s="1">
        <f t="shared" si="1"/>
        <v>4.85931662870159</v>
      </c>
    </row>
    <row r="17" spans="1:8">
      <c r="A17" s="4" t="s">
        <v>19</v>
      </c>
      <c r="B17" s="1">
        <v>205.26</v>
      </c>
      <c r="C17" s="1">
        <v>0.0130495031284505</v>
      </c>
      <c r="D17" s="1">
        <v>2.67854101214575</v>
      </c>
      <c r="E17" s="1">
        <v>0.00191200864924549</v>
      </c>
      <c r="F17" s="1">
        <v>0.392458895344129</v>
      </c>
      <c r="G17" s="1">
        <v>0.0320206109679794</v>
      </c>
      <c r="H17" s="1">
        <f t="shared" si="1"/>
        <v>6.57255060728745</v>
      </c>
    </row>
    <row r="18" spans="1:8">
      <c r="A18" s="4" t="s">
        <v>20</v>
      </c>
      <c r="B18" s="1">
        <v>207</v>
      </c>
      <c r="C18" s="1">
        <v>0.0130495031284505</v>
      </c>
      <c r="D18" s="1">
        <v>2.70124714758925</v>
      </c>
      <c r="E18" s="1">
        <v>0.00191200864924549</v>
      </c>
      <c r="F18" s="1">
        <v>0.395785790393817</v>
      </c>
      <c r="G18" s="1">
        <v>0.0320206109679794</v>
      </c>
      <c r="H18" s="1">
        <f t="shared" si="1"/>
        <v>6.62826647037173</v>
      </c>
    </row>
    <row r="19" spans="1:8">
      <c r="A19" s="4" t="s">
        <v>21</v>
      </c>
      <c r="B19" s="1">
        <v>121.61</v>
      </c>
      <c r="C19" s="1">
        <v>0.0130495031284505</v>
      </c>
      <c r="D19" s="1">
        <v>1.58695007545086</v>
      </c>
      <c r="E19" s="1">
        <v>0.00191200864924549</v>
      </c>
      <c r="F19" s="1">
        <v>0.232519371834744</v>
      </c>
      <c r="G19" s="1">
        <v>0.0320206109679794</v>
      </c>
      <c r="H19" s="1">
        <f t="shared" si="1"/>
        <v>3.89402649981597</v>
      </c>
    </row>
    <row r="20" spans="1:8">
      <c r="A20" s="4" t="s">
        <v>53</v>
      </c>
      <c r="B20" s="1">
        <v>133.19</v>
      </c>
      <c r="C20" s="1">
        <v>0.0130495031284505</v>
      </c>
      <c r="D20" s="1">
        <v>1.73806332167832</v>
      </c>
      <c r="E20" s="1">
        <v>0.00191200864924549</v>
      </c>
      <c r="F20" s="1">
        <v>0.254660431993007</v>
      </c>
      <c r="G20" s="1">
        <v>0.0320206109679794</v>
      </c>
      <c r="H20" s="1">
        <f t="shared" si="1"/>
        <v>4.26482517482517</v>
      </c>
    </row>
    <row r="21" spans="1:8">
      <c r="A21" s="4" t="s">
        <v>54</v>
      </c>
      <c r="B21" s="1">
        <v>146.25</v>
      </c>
      <c r="C21" s="1">
        <v>0.0130495031284505</v>
      </c>
      <c r="D21" s="1">
        <v>1.90848983253589</v>
      </c>
      <c r="E21" s="1">
        <v>0.00191200864924549</v>
      </c>
      <c r="F21" s="1">
        <v>0.279631264952153</v>
      </c>
      <c r="G21" s="1">
        <v>0.0320206109679794</v>
      </c>
      <c r="H21" s="1">
        <f t="shared" si="1"/>
        <v>4.68301435406699</v>
      </c>
    </row>
    <row r="22" spans="1:8">
      <c r="A22" s="4" t="s">
        <v>22</v>
      </c>
      <c r="B22" s="1">
        <v>99.27</v>
      </c>
      <c r="C22" s="1">
        <v>0.0123542752139933</v>
      </c>
      <c r="D22" s="1">
        <v>1.22640890049312</v>
      </c>
      <c r="E22" s="1">
        <v>0.00152004512467436</v>
      </c>
      <c r="F22" s="1">
        <v>0.150894879526423</v>
      </c>
      <c r="G22" s="1">
        <v>0.0368440640119092</v>
      </c>
      <c r="H22" s="1">
        <f t="shared" si="1"/>
        <v>3.65751023446223</v>
      </c>
    </row>
    <row r="23" spans="1:8">
      <c r="A23" s="4" t="s">
        <v>23</v>
      </c>
      <c r="B23" s="1">
        <v>160.94</v>
      </c>
      <c r="C23" s="1">
        <v>0.0123542752139933</v>
      </c>
      <c r="D23" s="1">
        <v>1.98829705294008</v>
      </c>
      <c r="E23" s="1">
        <v>0.00152004512467436</v>
      </c>
      <c r="F23" s="1">
        <v>0.244636062365091</v>
      </c>
      <c r="G23" s="1">
        <v>0.0368440640119092</v>
      </c>
      <c r="H23" s="1">
        <f t="shared" si="1"/>
        <v>5.92968366207667</v>
      </c>
    </row>
    <row r="24" spans="1:8">
      <c r="A24" s="4" t="s">
        <v>24</v>
      </c>
      <c r="B24" s="1">
        <v>219.1</v>
      </c>
      <c r="C24" s="1">
        <v>0.0123542752139933</v>
      </c>
      <c r="D24" s="1">
        <v>2.70682169938593</v>
      </c>
      <c r="E24" s="1">
        <v>0.00152004512467436</v>
      </c>
      <c r="F24" s="1">
        <v>0.333041886816152</v>
      </c>
      <c r="G24" s="1">
        <v>0.0368440640119092</v>
      </c>
      <c r="H24" s="1">
        <f t="shared" si="1"/>
        <v>8.0725344250093</v>
      </c>
    </row>
    <row r="25" spans="1:8">
      <c r="A25" s="4" t="s">
        <v>55</v>
      </c>
      <c r="B25" s="1">
        <v>236.98</v>
      </c>
      <c r="C25" s="1">
        <v>0.0123542752139933</v>
      </c>
      <c r="D25" s="1">
        <v>2.92771614021213</v>
      </c>
      <c r="E25" s="1">
        <v>0.00152004512467436</v>
      </c>
      <c r="F25" s="1">
        <v>0.360220293645329</v>
      </c>
      <c r="G25" s="1">
        <v>0.0368440640119092</v>
      </c>
      <c r="H25" s="1">
        <f t="shared" si="1"/>
        <v>8.73130628954224</v>
      </c>
    </row>
    <row r="26" spans="1:8">
      <c r="A26" s="4" t="s">
        <v>56</v>
      </c>
      <c r="B26" s="1">
        <v>160.5</v>
      </c>
      <c r="C26" s="1">
        <v>0.0123542752139933</v>
      </c>
      <c r="D26" s="1">
        <v>1.98286117184593</v>
      </c>
      <c r="E26" s="1">
        <v>0.00152004512467436</v>
      </c>
      <c r="F26" s="1">
        <v>0.243967242510234</v>
      </c>
      <c r="G26" s="1">
        <v>0.0368440640119092</v>
      </c>
      <c r="H26" s="1">
        <f t="shared" si="1"/>
        <v>5.91347227391143</v>
      </c>
    </row>
    <row r="27" spans="1:8">
      <c r="A27" s="4" t="s">
        <v>25</v>
      </c>
      <c r="B27" s="1">
        <v>171.97</v>
      </c>
      <c r="C27" s="1">
        <v>0.0140148093298778</v>
      </c>
      <c r="D27" s="1">
        <v>2.41012676045909</v>
      </c>
      <c r="E27" s="1">
        <v>0.00233450342465753</v>
      </c>
      <c r="F27" s="1">
        <v>0.401464553938356</v>
      </c>
      <c r="G27" s="1">
        <v>0.0324879674194743</v>
      </c>
      <c r="H27" s="1">
        <f t="shared" si="1"/>
        <v>5.58695575712699</v>
      </c>
    </row>
    <row r="28" spans="1:8">
      <c r="A28" s="4" t="s">
        <v>26</v>
      </c>
      <c r="B28" s="1">
        <v>124.05</v>
      </c>
      <c r="C28" s="1">
        <v>0.0140148093298778</v>
      </c>
      <c r="D28" s="1">
        <v>1.73853709737134</v>
      </c>
      <c r="E28" s="1">
        <v>0.00233450342465753</v>
      </c>
      <c r="F28" s="1">
        <v>0.289595149828767</v>
      </c>
      <c r="G28" s="1">
        <v>0.0324879674194743</v>
      </c>
      <c r="H28" s="1">
        <f t="shared" si="1"/>
        <v>4.03013235838578</v>
      </c>
    </row>
    <row r="29" spans="1:8">
      <c r="A29" s="4" t="s">
        <v>27</v>
      </c>
      <c r="B29" s="1">
        <v>171.71</v>
      </c>
      <c r="C29" s="1">
        <v>0.0140148093298778</v>
      </c>
      <c r="D29" s="1">
        <v>2.40648291003332</v>
      </c>
      <c r="E29" s="1">
        <v>0.00233450342465753</v>
      </c>
      <c r="F29" s="1">
        <v>0.400857583047945</v>
      </c>
      <c r="G29" s="1">
        <v>0.0324879674194743</v>
      </c>
      <c r="H29" s="1">
        <f t="shared" si="1"/>
        <v>5.57850888559793</v>
      </c>
    </row>
    <row r="30" spans="1:8">
      <c r="A30" s="4" t="s">
        <v>57</v>
      </c>
      <c r="B30" s="1">
        <v>172.39</v>
      </c>
      <c r="C30" s="1">
        <v>0.0140148093298778</v>
      </c>
      <c r="D30" s="1">
        <v>2.41601298037764</v>
      </c>
      <c r="E30" s="1">
        <v>0.00233450342465753</v>
      </c>
      <c r="F30" s="1">
        <v>0.402445045376712</v>
      </c>
      <c r="G30" s="1">
        <v>0.0324879674194743</v>
      </c>
      <c r="H30" s="1">
        <f t="shared" si="1"/>
        <v>5.60060070344317</v>
      </c>
    </row>
    <row r="31" spans="1:8">
      <c r="A31" s="4" t="s">
        <v>58</v>
      </c>
      <c r="B31" s="1">
        <v>153.01</v>
      </c>
      <c r="C31" s="1">
        <v>0.0140148093298778</v>
      </c>
      <c r="D31" s="1">
        <v>2.14440597556461</v>
      </c>
      <c r="E31" s="1">
        <v>0.00233450342465753</v>
      </c>
      <c r="F31" s="1">
        <v>0.357202369006849</v>
      </c>
      <c r="G31" s="1">
        <v>0.0324879674194743</v>
      </c>
      <c r="H31" s="1">
        <f t="shared" si="1"/>
        <v>4.97098389485376</v>
      </c>
    </row>
    <row r="32" spans="1:8">
      <c r="A32" s="4" t="s">
        <v>28</v>
      </c>
      <c r="B32" s="1">
        <v>119.86</v>
      </c>
      <c r="C32" s="1">
        <v>0.0117159875046624</v>
      </c>
      <c r="D32" s="1">
        <v>1.40427826230884</v>
      </c>
      <c r="E32" s="1">
        <v>0.00179960415889593</v>
      </c>
      <c r="F32" s="1">
        <v>0.215700554485267</v>
      </c>
      <c r="G32" s="1">
        <v>0.0318910854158896</v>
      </c>
      <c r="H32" s="1">
        <f t="shared" si="1"/>
        <v>3.82246549794853</v>
      </c>
    </row>
    <row r="33" spans="1:8">
      <c r="A33" s="4" t="s">
        <v>29</v>
      </c>
      <c r="B33" s="1">
        <v>80.85</v>
      </c>
      <c r="C33" s="1">
        <v>0.0117159875046624</v>
      </c>
      <c r="D33" s="1">
        <v>0.947237589751958</v>
      </c>
      <c r="E33" s="1">
        <v>0.00179960415889593</v>
      </c>
      <c r="F33" s="1">
        <v>0.145497996246736</v>
      </c>
      <c r="G33" s="1">
        <v>0.0318910854158896</v>
      </c>
      <c r="H33" s="1">
        <f t="shared" si="1"/>
        <v>2.57839425587467</v>
      </c>
    </row>
    <row r="34" spans="1:8">
      <c r="A34" s="4" t="s">
        <v>30</v>
      </c>
      <c r="B34" s="1">
        <v>174.11</v>
      </c>
      <c r="C34" s="1">
        <v>0.0117159875046624</v>
      </c>
      <c r="D34" s="1">
        <v>2.03987058443678</v>
      </c>
      <c r="E34" s="1">
        <v>0.00179960415889593</v>
      </c>
      <c r="F34" s="1">
        <v>0.313329080105371</v>
      </c>
      <c r="G34" s="1">
        <v>0.0318910854158896</v>
      </c>
      <c r="H34" s="1">
        <f t="shared" si="1"/>
        <v>5.55255688176054</v>
      </c>
    </row>
    <row r="35" spans="1:8">
      <c r="A35" s="4" t="s">
        <v>59</v>
      </c>
      <c r="B35" s="1">
        <v>115</v>
      </c>
      <c r="C35" s="1">
        <v>0.0117159875046624</v>
      </c>
      <c r="D35" s="1">
        <v>1.34733856303618</v>
      </c>
      <c r="E35" s="1">
        <v>0.00179960415889593</v>
      </c>
      <c r="F35" s="1">
        <v>0.206954478273032</v>
      </c>
      <c r="G35" s="1">
        <v>0.0318910854158896</v>
      </c>
      <c r="H35" s="1">
        <f t="shared" si="1"/>
        <v>3.6674748228273</v>
      </c>
    </row>
    <row r="36" spans="1:8">
      <c r="A36" s="4" t="s">
        <v>60</v>
      </c>
      <c r="B36" s="1">
        <v>114.03</v>
      </c>
      <c r="C36" s="1">
        <v>0.0117159875046624</v>
      </c>
      <c r="D36" s="1">
        <v>1.33597405515666</v>
      </c>
      <c r="E36" s="1">
        <v>0.00179960415889593</v>
      </c>
      <c r="F36" s="1">
        <v>0.205208862238903</v>
      </c>
      <c r="G36" s="1">
        <v>0.0318910854158896</v>
      </c>
      <c r="H36" s="1">
        <f t="shared" si="1"/>
        <v>3.63654046997389</v>
      </c>
    </row>
    <row r="37" spans="1:8">
      <c r="A37" s="4" t="s">
        <v>31</v>
      </c>
      <c r="B37" s="1">
        <v>101.62</v>
      </c>
      <c r="C37" s="1">
        <v>0.0134576037304911</v>
      </c>
      <c r="D37" s="1">
        <v>1.3675616910925</v>
      </c>
      <c r="E37" s="1">
        <v>0.0016956794822992</v>
      </c>
      <c r="F37" s="1">
        <v>0.172314948991245</v>
      </c>
      <c r="G37" s="1">
        <v>0.0282641796726304</v>
      </c>
      <c r="H37" s="1">
        <f t="shared" si="1"/>
        <v>2.8722059383327</v>
      </c>
    </row>
    <row r="38" spans="1:8">
      <c r="A38" s="4" t="s">
        <v>32</v>
      </c>
      <c r="B38" s="1">
        <v>135.71</v>
      </c>
      <c r="C38" s="1">
        <v>0.0134576037304911</v>
      </c>
      <c r="D38" s="1">
        <v>1.82633140226494</v>
      </c>
      <c r="E38" s="1">
        <v>0.0016956794822992</v>
      </c>
      <c r="F38" s="1">
        <v>0.230120662542824</v>
      </c>
      <c r="G38" s="1">
        <v>0.0282641796726304</v>
      </c>
      <c r="H38" s="1">
        <f t="shared" si="1"/>
        <v>3.83573182337267</v>
      </c>
    </row>
    <row r="39" spans="1:8">
      <c r="A39" s="4" t="s">
        <v>33</v>
      </c>
      <c r="B39" s="1">
        <v>153.09</v>
      </c>
      <c r="C39" s="1">
        <v>0.0134576037304911</v>
      </c>
      <c r="D39" s="1">
        <v>2.06022455510088</v>
      </c>
      <c r="E39" s="1">
        <v>0.0016956794822992</v>
      </c>
      <c r="F39" s="1">
        <v>0.259591571945185</v>
      </c>
      <c r="G39" s="1">
        <v>0.0282641796726304</v>
      </c>
      <c r="H39" s="1">
        <f t="shared" si="1"/>
        <v>4.32696326608299</v>
      </c>
    </row>
    <row r="40" spans="1:8">
      <c r="A40" s="4" t="s">
        <v>61</v>
      </c>
      <c r="B40" s="1">
        <v>163.58</v>
      </c>
      <c r="C40" s="1">
        <v>0.0134576037304911</v>
      </c>
      <c r="D40" s="1">
        <v>2.20139481823373</v>
      </c>
      <c r="E40" s="1">
        <v>0.0016956794822992</v>
      </c>
      <c r="F40" s="1">
        <v>0.277379249714503</v>
      </c>
      <c r="G40" s="1">
        <v>0.0282641796726304</v>
      </c>
      <c r="H40" s="1">
        <f t="shared" si="1"/>
        <v>4.62345451084888</v>
      </c>
    </row>
    <row r="41" spans="1:8">
      <c r="A41" s="4" t="s">
        <v>62</v>
      </c>
      <c r="B41" s="1">
        <v>97.52</v>
      </c>
      <c r="C41" s="1">
        <v>0.0134576037304911</v>
      </c>
      <c r="D41" s="1">
        <v>1.31238551579749</v>
      </c>
      <c r="E41" s="1">
        <v>0.0016956794822992</v>
      </c>
      <c r="F41" s="1">
        <v>0.165362663113818</v>
      </c>
      <c r="G41" s="1">
        <v>0.0282641796726304</v>
      </c>
      <c r="H41" s="1">
        <f t="shared" si="1"/>
        <v>2.75632280167491</v>
      </c>
    </row>
    <row r="42" spans="1:8">
      <c r="A42" s="4" t="s">
        <v>34</v>
      </c>
      <c r="B42" s="1">
        <v>135.08</v>
      </c>
      <c r="C42" s="1">
        <v>0.0120161068281938</v>
      </c>
      <c r="D42" s="1">
        <v>1.62313571035242</v>
      </c>
      <c r="E42" s="1">
        <v>0.00177119631057269</v>
      </c>
      <c r="F42" s="1">
        <v>0.239253197632159</v>
      </c>
      <c r="G42" s="1">
        <v>0.0333149779735683</v>
      </c>
      <c r="H42" s="1">
        <f t="shared" si="1"/>
        <v>4.5001872246696</v>
      </c>
    </row>
    <row r="43" spans="1:8">
      <c r="A43" s="4" t="s">
        <v>35</v>
      </c>
      <c r="B43" s="1">
        <v>158.12</v>
      </c>
      <c r="C43" s="1">
        <v>0.0120161068281938</v>
      </c>
      <c r="D43" s="1">
        <v>1.89998681167401</v>
      </c>
      <c r="E43" s="1">
        <v>0.00177119631057269</v>
      </c>
      <c r="F43" s="1">
        <v>0.280061560627753</v>
      </c>
      <c r="G43" s="1">
        <v>0.0333149779735683</v>
      </c>
      <c r="H43" s="1">
        <f t="shared" ref="H43:H61" si="2">B43*G43</f>
        <v>5.26776431718062</v>
      </c>
    </row>
    <row r="44" spans="1:8">
      <c r="A44" s="4" t="s">
        <v>36</v>
      </c>
      <c r="B44" s="1">
        <v>173.05</v>
      </c>
      <c r="C44" s="1">
        <v>0.0120161068281938</v>
      </c>
      <c r="D44" s="1">
        <v>2.07938728661894</v>
      </c>
      <c r="E44" s="1">
        <v>0.00177119631057269</v>
      </c>
      <c r="F44" s="1">
        <v>0.306505521544604</v>
      </c>
      <c r="G44" s="1">
        <v>0.0333149779735683</v>
      </c>
      <c r="H44" s="1">
        <f t="shared" si="2"/>
        <v>5.76515693832599</v>
      </c>
    </row>
    <row r="45" spans="1:8">
      <c r="A45" s="4" t="s">
        <v>63</v>
      </c>
      <c r="B45" s="1">
        <v>145.85</v>
      </c>
      <c r="C45" s="1">
        <v>0.0120161068281938</v>
      </c>
      <c r="D45" s="1">
        <v>1.75254918089207</v>
      </c>
      <c r="E45" s="1">
        <v>0.00177119631057269</v>
      </c>
      <c r="F45" s="1">
        <v>0.258328981897026</v>
      </c>
      <c r="G45" s="1">
        <v>0.0333149779735683</v>
      </c>
      <c r="H45" s="1">
        <f t="shared" si="2"/>
        <v>4.85898953744493</v>
      </c>
    </row>
    <row r="46" spans="1:8">
      <c r="A46" s="4" t="s">
        <v>64</v>
      </c>
      <c r="B46" s="1">
        <v>137.54</v>
      </c>
      <c r="C46" s="1">
        <v>0.0120161068281938</v>
      </c>
      <c r="D46" s="1">
        <v>1.65269533314978</v>
      </c>
      <c r="E46" s="1">
        <v>0.00177119631057269</v>
      </c>
      <c r="F46" s="1">
        <v>0.243610340556167</v>
      </c>
      <c r="G46" s="1">
        <v>0.0333149779735683</v>
      </c>
      <c r="H46" s="1">
        <f t="shared" si="2"/>
        <v>4.58214207048458</v>
      </c>
    </row>
    <row r="47" spans="1:8">
      <c r="A47" s="4" t="s">
        <v>37</v>
      </c>
      <c r="B47" s="1">
        <v>139.04</v>
      </c>
      <c r="C47" s="1">
        <v>0.0123997933884298</v>
      </c>
      <c r="D47" s="1">
        <v>1.72406727272727</v>
      </c>
      <c r="E47" s="1">
        <v>0.00146169716646989</v>
      </c>
      <c r="F47" s="1">
        <v>0.203234374025974</v>
      </c>
      <c r="G47" s="1">
        <v>0.0215466351829988</v>
      </c>
      <c r="H47" s="1">
        <f t="shared" si="2"/>
        <v>2.99584415584416</v>
      </c>
    </row>
    <row r="48" spans="1:8">
      <c r="A48" s="4" t="s">
        <v>38</v>
      </c>
      <c r="B48" s="1">
        <v>114.43</v>
      </c>
      <c r="C48" s="1">
        <v>0.0123997933884298</v>
      </c>
      <c r="D48" s="1">
        <v>1.41890835743802</v>
      </c>
      <c r="E48" s="1">
        <v>0.00146169716646989</v>
      </c>
      <c r="F48" s="1">
        <v>0.16726200675915</v>
      </c>
      <c r="G48" s="1">
        <v>0.0215466351829988</v>
      </c>
      <c r="H48" s="1">
        <f t="shared" si="2"/>
        <v>2.46558146399055</v>
      </c>
    </row>
    <row r="49" spans="1:8">
      <c r="A49" s="4" t="s">
        <v>39</v>
      </c>
      <c r="B49" s="1">
        <v>175.78</v>
      </c>
      <c r="C49" s="1">
        <v>0.0123997933884298</v>
      </c>
      <c r="D49" s="1">
        <v>2.17963568181818</v>
      </c>
      <c r="E49" s="1">
        <v>0.00146169716646989</v>
      </c>
      <c r="F49" s="1">
        <v>0.256937127922078</v>
      </c>
      <c r="G49" s="1">
        <v>0.0215466351829988</v>
      </c>
      <c r="H49" s="1">
        <f t="shared" si="2"/>
        <v>3.78746753246753</v>
      </c>
    </row>
    <row r="50" spans="1:8">
      <c r="A50" s="4" t="s">
        <v>65</v>
      </c>
      <c r="B50" s="1">
        <v>161.06</v>
      </c>
      <c r="C50" s="1">
        <v>0.0123997933884298</v>
      </c>
      <c r="D50" s="1">
        <v>1.9971107231405</v>
      </c>
      <c r="E50" s="1">
        <v>0.00146169716646989</v>
      </c>
      <c r="F50" s="1">
        <v>0.235420945631641</v>
      </c>
      <c r="G50" s="1">
        <v>0.0215466351829988</v>
      </c>
      <c r="H50" s="1">
        <f t="shared" si="2"/>
        <v>3.47030106257379</v>
      </c>
    </row>
    <row r="51" spans="1:8">
      <c r="A51" s="4" t="s">
        <v>66</v>
      </c>
      <c r="B51" s="1">
        <v>138.73</v>
      </c>
      <c r="C51" s="1">
        <v>0.0123997933884298</v>
      </c>
      <c r="D51" s="1">
        <v>1.72022333677686</v>
      </c>
      <c r="E51" s="1">
        <v>0.00146169716646989</v>
      </c>
      <c r="F51" s="1">
        <v>0.202781247904368</v>
      </c>
      <c r="G51" s="1">
        <v>0.0215466351829988</v>
      </c>
      <c r="H51" s="1">
        <f t="shared" si="2"/>
        <v>2.98916469893743</v>
      </c>
    </row>
    <row r="52" spans="1:8">
      <c r="A52" s="4" t="s">
        <v>40</v>
      </c>
      <c r="B52" s="1">
        <v>123.57</v>
      </c>
      <c r="C52" s="1">
        <v>0.0126419902912621</v>
      </c>
      <c r="D52" s="1">
        <v>1.56217074029126</v>
      </c>
      <c r="E52" s="1">
        <v>0.00213423408845739</v>
      </c>
      <c r="F52" s="1">
        <v>0.263727306310679</v>
      </c>
      <c r="G52" s="1">
        <v>0.0253505933117584</v>
      </c>
      <c r="H52" s="1">
        <f t="shared" si="2"/>
        <v>3.13257281553398</v>
      </c>
    </row>
    <row r="53" spans="1:8">
      <c r="A53" s="4" t="s">
        <v>41</v>
      </c>
      <c r="B53" s="1">
        <v>142.5</v>
      </c>
      <c r="C53" s="1">
        <v>0.0126419902912621</v>
      </c>
      <c r="D53" s="1">
        <v>1.80148361650485</v>
      </c>
      <c r="E53" s="1">
        <v>0.00213423408845739</v>
      </c>
      <c r="F53" s="1">
        <v>0.304128357605178</v>
      </c>
      <c r="G53" s="1">
        <v>0.0253505933117584</v>
      </c>
      <c r="H53" s="1">
        <f t="shared" si="2"/>
        <v>3.61245954692557</v>
      </c>
    </row>
    <row r="54" spans="1:8">
      <c r="A54" s="4" t="s">
        <v>42</v>
      </c>
      <c r="B54" s="1">
        <v>133.63</v>
      </c>
      <c r="C54" s="1">
        <v>0.0126419902912621</v>
      </c>
      <c r="D54" s="1">
        <v>1.68934916262136</v>
      </c>
      <c r="E54" s="1">
        <v>0.00213423408845739</v>
      </c>
      <c r="F54" s="1">
        <v>0.285197701240561</v>
      </c>
      <c r="G54" s="1">
        <v>0.0253505933117584</v>
      </c>
      <c r="H54" s="1">
        <f t="shared" si="2"/>
        <v>3.38759978425027</v>
      </c>
    </row>
    <row r="55" spans="1:8">
      <c r="A55" s="4" t="s">
        <v>67</v>
      </c>
      <c r="B55" s="1">
        <v>149.31</v>
      </c>
      <c r="C55" s="1">
        <v>0.0126419902912621</v>
      </c>
      <c r="D55" s="1">
        <v>1.88757557038835</v>
      </c>
      <c r="E55" s="1">
        <v>0.00213423408845739</v>
      </c>
      <c r="F55" s="1">
        <v>0.318662491747573</v>
      </c>
      <c r="G55" s="1">
        <v>0.0253505933117584</v>
      </c>
      <c r="H55" s="1">
        <f t="shared" si="2"/>
        <v>3.78509708737864</v>
      </c>
    </row>
    <row r="56" spans="1:8">
      <c r="A56" s="4" t="s">
        <v>68</v>
      </c>
      <c r="B56" s="1">
        <v>139.84</v>
      </c>
      <c r="C56" s="1">
        <v>0.0126419902912621</v>
      </c>
      <c r="D56" s="1">
        <v>1.7678559223301</v>
      </c>
      <c r="E56" s="1">
        <v>0.00213423408845739</v>
      </c>
      <c r="F56" s="1">
        <v>0.298451294929881</v>
      </c>
      <c r="G56" s="1">
        <v>0.0253505933117584</v>
      </c>
      <c r="H56" s="1">
        <f t="shared" si="2"/>
        <v>3.54502696871629</v>
      </c>
    </row>
    <row r="57" spans="1:8">
      <c r="A57" s="4" t="s">
        <v>43</v>
      </c>
      <c r="B57" s="1">
        <v>135.31</v>
      </c>
      <c r="C57" s="1">
        <v>0.013013624567474</v>
      </c>
      <c r="D57" s="1">
        <v>1.76087354022491</v>
      </c>
      <c r="E57" s="1">
        <v>0.00185495530565167</v>
      </c>
      <c r="F57" s="1">
        <v>0.250994002407728</v>
      </c>
      <c r="G57" s="1">
        <v>0.0297001153402538</v>
      </c>
      <c r="H57" s="1">
        <f t="shared" si="2"/>
        <v>4.01872260668974</v>
      </c>
    </row>
    <row r="58" spans="1:8">
      <c r="A58" s="4" t="s">
        <v>44</v>
      </c>
      <c r="B58" s="1">
        <v>122.56</v>
      </c>
      <c r="C58" s="1">
        <v>0.013013624567474</v>
      </c>
      <c r="D58" s="1">
        <v>1.59494982698962</v>
      </c>
      <c r="E58" s="1">
        <v>0.00185495530565167</v>
      </c>
      <c r="F58" s="1">
        <v>0.227343322260669</v>
      </c>
      <c r="G58" s="1">
        <v>0.0297001153402538</v>
      </c>
      <c r="H58" s="1">
        <f t="shared" si="2"/>
        <v>3.6400461361015</v>
      </c>
    </row>
    <row r="59" spans="1:8">
      <c r="A59" s="4" t="s">
        <v>45</v>
      </c>
      <c r="B59" s="1">
        <v>151.53</v>
      </c>
      <c r="C59" s="1">
        <v>0.013013624567474</v>
      </c>
      <c r="D59" s="1">
        <v>1.97195453070934</v>
      </c>
      <c r="E59" s="1">
        <v>0.00185495530565167</v>
      </c>
      <c r="F59" s="1">
        <v>0.281081377465398</v>
      </c>
      <c r="G59" s="1">
        <v>0.0297001153402538</v>
      </c>
      <c r="H59" s="1">
        <f t="shared" si="2"/>
        <v>4.50045847750865</v>
      </c>
    </row>
    <row r="60" spans="1:8">
      <c r="A60" s="4" t="s">
        <v>69</v>
      </c>
      <c r="B60" s="1">
        <v>177.1</v>
      </c>
      <c r="C60" s="1">
        <v>0.013013624567474</v>
      </c>
      <c r="D60" s="1">
        <v>2.30471291089965</v>
      </c>
      <c r="E60" s="1">
        <v>0.00185495530565167</v>
      </c>
      <c r="F60" s="1">
        <v>0.328512584630911</v>
      </c>
      <c r="G60" s="1">
        <v>0.0297001153402538</v>
      </c>
      <c r="H60" s="1">
        <f t="shared" si="2"/>
        <v>5.25989042675894</v>
      </c>
    </row>
    <row r="61" spans="1:8">
      <c r="A61" s="4" t="s">
        <v>70</v>
      </c>
      <c r="B61" s="1">
        <v>157.11</v>
      </c>
      <c r="C61" s="1">
        <v>0.013013624567474</v>
      </c>
      <c r="D61" s="1">
        <v>2.04457055579585</v>
      </c>
      <c r="E61" s="1">
        <v>0.00185495530565167</v>
      </c>
      <c r="F61" s="1">
        <v>0.291432028070934</v>
      </c>
      <c r="G61" s="1">
        <v>0.0297001153402538</v>
      </c>
      <c r="H61" s="1">
        <f t="shared" si="2"/>
        <v>4.66618512110727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Leaf and stem </vt:lpstr>
      <vt:lpstr>fruit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haijie</dc:creator>
  <cp:lastModifiedBy>有一天离去</cp:lastModifiedBy>
  <dcterms:created xsi:type="dcterms:W3CDTF">2024-06-27T08:21:00Z</dcterms:created>
  <dcterms:modified xsi:type="dcterms:W3CDTF">2026-05-12T02:35:21Z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69B8D61612084536AE792CF8EE862150_13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